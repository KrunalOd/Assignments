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"/>
    </mc:Choice>
  </mc:AlternateContent>
  <xr:revisionPtr revIDLastSave="0" documentId="8_{0738D57C-9738-4ECA-8C67-C6E4F05D8142}" xr6:coauthVersionLast="47" xr6:coauthVersionMax="47" xr10:uidLastSave="{00000000-0000-0000-0000-000000000000}"/>
  <bookViews>
    <workbookView xWindow="-108" yWindow="-108" windowWidth="23256" windowHeight="12456" xr2:uid="{9CBF6EC2-EDB7-4A92-8F9C-00F8A3ECC5B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2" l="1"/>
  <c r="N7" i="2"/>
  <c r="M12" i="1"/>
  <c r="M9" i="1"/>
</calcChain>
</file>

<file path=xl/sharedStrings.xml><?xml version="1.0" encoding="utf-8"?>
<sst xmlns="http://schemas.openxmlformats.org/spreadsheetml/2006/main" count="72" uniqueCount="52">
  <si>
    <t>Variance Examples</t>
  </si>
  <si>
    <t>HERE  ALL DATA IN RANGE FIGURES ( 2007,2008,2009)</t>
  </si>
  <si>
    <t>ANSWER</t>
  </si>
  <si>
    <t>POPULATION VARIANCE</t>
  </si>
  <si>
    <t>A</t>
  </si>
  <si>
    <t>B</t>
  </si>
  <si>
    <t>C</t>
  </si>
  <si>
    <t>D</t>
  </si>
  <si>
    <t>E</t>
  </si>
  <si>
    <t>F</t>
  </si>
  <si>
    <t>G</t>
  </si>
  <si>
    <t>H</t>
  </si>
  <si>
    <t>2007 FIGURES</t>
  </si>
  <si>
    <t>2008 FIGURES</t>
  </si>
  <si>
    <t>2009 FIGURES</t>
  </si>
  <si>
    <t>VARIANCE</t>
  </si>
  <si>
    <t>SAMPLE VARIANCE</t>
  </si>
  <si>
    <t>MONTH</t>
  </si>
  <si>
    <t>AMOUNT</t>
  </si>
  <si>
    <t>Q.1 - Calculate Population Variance in Excel</t>
  </si>
  <si>
    <t>Module 3 Applied Statistics in Excel</t>
  </si>
  <si>
    <t>Question 2 - Calculate Sample Variance in Excel</t>
  </si>
  <si>
    <t>HERE ALL DATA IN RANGR FIGURE ( GROUP 1,2,3)</t>
  </si>
  <si>
    <t>GROUP 1</t>
  </si>
  <si>
    <t>GROUP 2</t>
  </si>
  <si>
    <t>GROUP 3</t>
  </si>
  <si>
    <t>REF</t>
  </si>
  <si>
    <t>HEIGHT</t>
  </si>
  <si>
    <t>G1.1</t>
  </si>
  <si>
    <t>G2.1</t>
  </si>
  <si>
    <t>G3.1</t>
  </si>
  <si>
    <t>G1.2</t>
  </si>
  <si>
    <t>G2.2</t>
  </si>
  <si>
    <t>G3.2</t>
  </si>
  <si>
    <t>G1.3</t>
  </si>
  <si>
    <t>G2.3</t>
  </si>
  <si>
    <t>G3.3</t>
  </si>
  <si>
    <t>G1.4</t>
  </si>
  <si>
    <t>G2.4</t>
  </si>
  <si>
    <t>G3.4</t>
  </si>
  <si>
    <t>G1.5</t>
  </si>
  <si>
    <t>G2.5</t>
  </si>
  <si>
    <t>G3.5</t>
  </si>
  <si>
    <t>G1.6</t>
  </si>
  <si>
    <t>G2.6</t>
  </si>
  <si>
    <t>G3.6</t>
  </si>
  <si>
    <t>G1.7</t>
  </si>
  <si>
    <t>G2.7</t>
  </si>
  <si>
    <t>G3.7</t>
  </si>
  <si>
    <t>G1.8</t>
  </si>
  <si>
    <t>G2.8</t>
  </si>
  <si>
    <t>G3.8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</si>
</sst>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8"/>
      <color theme="5" tint="0.59999389629810485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rgb="FF00206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66239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6" borderId="1" xfId="0" applyFont="1" applyFill="1" applyBorder="1" applyAlignment="1">
      <alignment horizontal="center"/>
    </xf>
    <xf numFmtId="4" fontId="9" fillId="7" borderId="1" xfId="0" applyNumberFormat="1" applyFont="1" applyFill="1" applyBorder="1" applyAlignment="1">
      <alignment horizontal="center"/>
    </xf>
    <xf numFmtId="3" fontId="6" fillId="7" borderId="1" xfId="0" applyNumberFormat="1" applyFont="1" applyFill="1" applyBorder="1" applyAlignment="1">
      <alignment horizontal="center"/>
    </xf>
    <xf numFmtId="16" fontId="6" fillId="9" borderId="1" xfId="0" applyNumberFormat="1" applyFont="1" applyFill="1" applyBorder="1" applyAlignment="1">
      <alignment horizontal="center"/>
    </xf>
    <xf numFmtId="16" fontId="6" fillId="10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11" borderId="1" xfId="0" applyNumberFormat="1" applyFont="1" applyFill="1" applyBorder="1" applyAlignment="1">
      <alignment horizontal="center"/>
    </xf>
    <xf numFmtId="3" fontId="0" fillId="11" borderId="1" xfId="0" applyNumberFormat="1" applyFill="1" applyBorder="1"/>
    <xf numFmtId="0" fontId="0" fillId="11" borderId="0" xfId="0" applyFill="1"/>
    <xf numFmtId="0" fontId="1" fillId="8" borderId="1" xfId="0" applyFont="1" applyFill="1" applyBorder="1"/>
    <xf numFmtId="16" fontId="6" fillId="11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" fillId="8" borderId="2" xfId="0" applyFont="1" applyFill="1" applyBorder="1"/>
    <xf numFmtId="3" fontId="6" fillId="11" borderId="2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6" fillId="4" borderId="1" xfId="0" applyFont="1" applyFill="1" applyBorder="1" applyAlignment="1">
      <alignment horizontal="center"/>
    </xf>
    <xf numFmtId="2" fontId="7" fillId="12" borderId="1" xfId="0" applyNumberFormat="1" applyFont="1" applyFill="1" applyBorder="1" applyAlignment="1">
      <alignment horizontal="center"/>
    </xf>
    <xf numFmtId="2" fontId="10" fillId="12" borderId="1" xfId="0" applyNumberFormat="1" applyFont="1" applyFill="1" applyBorder="1"/>
    <xf numFmtId="0" fontId="2" fillId="13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8" fillId="5" borderId="1" xfId="0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7" fillId="11" borderId="1" xfId="0" applyFont="1" applyFill="1" applyBorder="1" applyAlignment="1">
      <alignment horizontal="center"/>
    </xf>
    <xf numFmtId="164" fontId="7" fillId="11" borderId="1" xfId="0" applyNumberFormat="1" applyFont="1" applyFill="1" applyBorder="1" applyAlignment="1">
      <alignment horizontal="center"/>
    </xf>
    <xf numFmtId="0" fontId="7" fillId="14" borderId="0" xfId="0" applyFont="1" applyFill="1"/>
    <xf numFmtId="0" fontId="0" fillId="14" borderId="0" xfId="0" applyFont="1" applyFill="1"/>
    <xf numFmtId="0" fontId="12" fillId="14" borderId="0" xfId="0" applyFont="1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2531-7791-465D-B9B0-761E4C8A4BBA}">
  <dimension ref="A2:N44"/>
  <sheetViews>
    <sheetView tabSelected="1" workbookViewId="0">
      <selection activeCell="B2" sqref="B2"/>
    </sheetView>
  </sheetViews>
  <sheetFormatPr defaultRowHeight="14.4" x14ac:dyDescent="0.3"/>
  <cols>
    <col min="10" max="10" width="15.109375" bestFit="1" customWidth="1"/>
    <col min="12" max="12" width="46.88671875" bestFit="1" customWidth="1"/>
    <col min="13" max="13" width="23.77734375" bestFit="1" customWidth="1"/>
    <col min="14" max="14" width="46.88671875" bestFit="1" customWidth="1"/>
    <col min="15" max="15" width="23.77734375" bestFit="1" customWidth="1"/>
  </cols>
  <sheetData>
    <row r="2" spans="1:13" ht="23.4" x14ac:dyDescent="0.3">
      <c r="G2" s="34" t="s">
        <v>20</v>
      </c>
      <c r="H2" s="33"/>
      <c r="I2" s="33"/>
      <c r="J2" s="33"/>
      <c r="K2" s="33"/>
    </row>
    <row r="4" spans="1:13" ht="23.4" x14ac:dyDescent="0.45">
      <c r="A4" s="1" t="s">
        <v>0</v>
      </c>
      <c r="B4" s="1"/>
      <c r="C4" s="1"/>
      <c r="D4" s="2"/>
    </row>
    <row r="6" spans="1:13" ht="21" x14ac:dyDescent="0.4">
      <c r="A6" s="42" t="s">
        <v>19</v>
      </c>
      <c r="B6" s="43"/>
      <c r="C6" s="43"/>
      <c r="D6" s="43"/>
      <c r="E6" s="43"/>
      <c r="F6" s="43"/>
      <c r="G6" s="43"/>
      <c r="L6" s="26" t="s">
        <v>1</v>
      </c>
      <c r="M6" s="28" t="s">
        <v>2</v>
      </c>
    </row>
    <row r="7" spans="1:13" ht="15.6" x14ac:dyDescent="0.3">
      <c r="L7" s="27">
        <v>15000</v>
      </c>
      <c r="M7" s="29"/>
    </row>
    <row r="8" spans="1:13" ht="15.6" x14ac:dyDescent="0.3">
      <c r="B8" s="23"/>
      <c r="C8" s="25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5" t="s">
        <v>9</v>
      </c>
      <c r="I8" s="25" t="s">
        <v>10</v>
      </c>
      <c r="J8" s="25" t="s">
        <v>11</v>
      </c>
      <c r="K8" s="4"/>
      <c r="L8" s="27">
        <v>14500</v>
      </c>
      <c r="M8" s="30" t="s">
        <v>3</v>
      </c>
    </row>
    <row r="9" spans="1:13" ht="21" x14ac:dyDescent="0.4">
      <c r="B9" s="24">
        <v>1</v>
      </c>
      <c r="C9" s="5" t="s">
        <v>12</v>
      </c>
      <c r="D9" s="6"/>
      <c r="E9" s="5" t="s">
        <v>13</v>
      </c>
      <c r="F9" s="6"/>
      <c r="G9" s="5" t="s">
        <v>14</v>
      </c>
      <c r="H9" s="6"/>
      <c r="I9" s="7"/>
      <c r="J9" s="8" t="s">
        <v>15</v>
      </c>
      <c r="K9" s="9"/>
      <c r="L9" s="27">
        <v>14500</v>
      </c>
      <c r="M9" s="31">
        <f>_xlfn.VAR.P(L7:L42)</f>
        <v>6170524.6913580243</v>
      </c>
    </row>
    <row r="10" spans="1:13" ht="18" x14ac:dyDescent="0.35">
      <c r="B10" s="24">
        <v>2</v>
      </c>
      <c r="C10" s="10" t="s">
        <v>17</v>
      </c>
      <c r="D10" s="10" t="s">
        <v>18</v>
      </c>
      <c r="E10" s="10" t="s">
        <v>17</v>
      </c>
      <c r="F10" s="10" t="s">
        <v>18</v>
      </c>
      <c r="G10" s="10" t="s">
        <v>17</v>
      </c>
      <c r="H10" s="10" t="s">
        <v>18</v>
      </c>
      <c r="I10" s="7"/>
      <c r="J10" s="11">
        <v>6170524.6900000004</v>
      </c>
      <c r="K10" s="9"/>
      <c r="L10" s="27">
        <v>14000</v>
      </c>
      <c r="M10" s="29"/>
    </row>
    <row r="11" spans="1:13" ht="18" x14ac:dyDescent="0.35">
      <c r="B11" s="24">
        <v>3</v>
      </c>
      <c r="C11" s="22">
        <v>45664</v>
      </c>
      <c r="D11" s="12">
        <v>15000</v>
      </c>
      <c r="E11" s="13">
        <v>45665</v>
      </c>
      <c r="F11" s="12">
        <v>17500</v>
      </c>
      <c r="G11" s="14">
        <v>45666</v>
      </c>
      <c r="H11" s="12">
        <v>13000</v>
      </c>
      <c r="I11" s="15"/>
      <c r="J11" s="16"/>
      <c r="K11" s="9"/>
      <c r="L11" s="18">
        <v>16000</v>
      </c>
      <c r="M11" s="30" t="s">
        <v>16</v>
      </c>
    </row>
    <row r="12" spans="1:13" ht="21" x14ac:dyDescent="0.4">
      <c r="B12" s="24">
        <v>4</v>
      </c>
      <c r="C12" s="22">
        <v>45695</v>
      </c>
      <c r="D12" s="12">
        <v>14500</v>
      </c>
      <c r="E12" s="13">
        <v>45696</v>
      </c>
      <c r="F12" s="12">
        <v>12000</v>
      </c>
      <c r="G12" s="14">
        <v>45697</v>
      </c>
      <c r="H12" s="12">
        <v>15000</v>
      </c>
      <c r="I12" s="15"/>
      <c r="J12" s="16"/>
      <c r="K12" s="9"/>
      <c r="L12" s="18">
        <v>9500</v>
      </c>
      <c r="M12" s="32">
        <f>_xlfn.VAR.S(L7:L42)</f>
        <v>6346825.3968254086</v>
      </c>
    </row>
    <row r="13" spans="1:13" ht="18" x14ac:dyDescent="0.35">
      <c r="B13" s="24">
        <v>5</v>
      </c>
      <c r="C13" s="22">
        <v>45723</v>
      </c>
      <c r="D13" s="12">
        <v>14500</v>
      </c>
      <c r="E13" s="13">
        <v>45724</v>
      </c>
      <c r="F13" s="12">
        <v>16000</v>
      </c>
      <c r="G13" s="14">
        <v>45725</v>
      </c>
      <c r="H13" s="12">
        <v>14000</v>
      </c>
      <c r="I13" s="15"/>
      <c r="J13" s="16"/>
      <c r="K13" s="9"/>
      <c r="L13" s="18">
        <v>13500</v>
      </c>
    </row>
    <row r="14" spans="1:13" ht="18" x14ac:dyDescent="0.35">
      <c r="B14" s="24">
        <v>6</v>
      </c>
      <c r="C14" s="22">
        <v>45754</v>
      </c>
      <c r="D14" s="12">
        <v>14000</v>
      </c>
      <c r="E14" s="13">
        <v>45755</v>
      </c>
      <c r="F14" s="12">
        <v>19000</v>
      </c>
      <c r="G14" s="14">
        <v>45756</v>
      </c>
      <c r="H14" s="12">
        <v>16500</v>
      </c>
      <c r="I14" s="15"/>
      <c r="J14" s="16"/>
      <c r="K14" s="9"/>
      <c r="L14" s="18">
        <v>17000</v>
      </c>
    </row>
    <row r="15" spans="1:13" ht="18" x14ac:dyDescent="0.35">
      <c r="B15" s="24">
        <v>7</v>
      </c>
      <c r="C15" s="22">
        <v>45784</v>
      </c>
      <c r="D15" s="12">
        <v>16000</v>
      </c>
      <c r="E15" s="13">
        <v>45785</v>
      </c>
      <c r="F15" s="12">
        <v>17000</v>
      </c>
      <c r="G15" s="14">
        <v>45786</v>
      </c>
      <c r="H15" s="12">
        <v>20000</v>
      </c>
      <c r="I15" s="15"/>
      <c r="J15" s="16"/>
      <c r="K15" s="9"/>
      <c r="L15" s="18">
        <v>11000</v>
      </c>
    </row>
    <row r="16" spans="1:13" ht="18" x14ac:dyDescent="0.35">
      <c r="B16" s="24">
        <v>8</v>
      </c>
      <c r="C16" s="22">
        <v>45815</v>
      </c>
      <c r="D16" s="12">
        <v>9500</v>
      </c>
      <c r="E16" s="13">
        <v>45816</v>
      </c>
      <c r="F16" s="12">
        <v>10500</v>
      </c>
      <c r="G16" s="14">
        <v>45817</v>
      </c>
      <c r="H16" s="12">
        <v>12500</v>
      </c>
      <c r="I16" s="15"/>
      <c r="J16" s="16"/>
      <c r="K16" s="9"/>
      <c r="L16" s="18">
        <v>15000</v>
      </c>
    </row>
    <row r="17" spans="2:12" ht="18" x14ac:dyDescent="0.35">
      <c r="B17" s="24">
        <v>9</v>
      </c>
      <c r="C17" s="22">
        <v>45845</v>
      </c>
      <c r="D17" s="12">
        <v>13500</v>
      </c>
      <c r="E17" s="13">
        <v>45846</v>
      </c>
      <c r="F17" s="12">
        <v>11000</v>
      </c>
      <c r="G17" s="14">
        <v>45847</v>
      </c>
      <c r="H17" s="12">
        <v>14000</v>
      </c>
      <c r="I17" s="15"/>
      <c r="J17" s="16"/>
      <c r="K17" s="9"/>
      <c r="L17" s="18">
        <v>17500</v>
      </c>
    </row>
    <row r="18" spans="2:12" ht="18" x14ac:dyDescent="0.35">
      <c r="B18" s="24">
        <v>10</v>
      </c>
      <c r="C18" s="22">
        <v>45876</v>
      </c>
      <c r="D18" s="12">
        <v>17000</v>
      </c>
      <c r="E18" s="13">
        <v>45877</v>
      </c>
      <c r="F18" s="12">
        <v>12500</v>
      </c>
      <c r="G18" s="14">
        <v>45878</v>
      </c>
      <c r="H18" s="12">
        <v>18500</v>
      </c>
      <c r="I18" s="15"/>
      <c r="J18" s="16"/>
      <c r="K18" s="9"/>
      <c r="L18" s="18">
        <v>18000</v>
      </c>
    </row>
    <row r="19" spans="2:12" ht="18" x14ac:dyDescent="0.35">
      <c r="B19" s="24">
        <v>11</v>
      </c>
      <c r="C19" s="22">
        <v>45907</v>
      </c>
      <c r="D19" s="12">
        <v>11000</v>
      </c>
      <c r="E19" s="13">
        <v>45908</v>
      </c>
      <c r="F19" s="12">
        <v>13000</v>
      </c>
      <c r="G19" s="14">
        <v>45909</v>
      </c>
      <c r="H19" s="12">
        <v>14500</v>
      </c>
      <c r="I19" s="15"/>
      <c r="J19" s="16"/>
      <c r="K19" s="9"/>
      <c r="L19" s="18">
        <v>17500</v>
      </c>
    </row>
    <row r="20" spans="2:12" ht="18" x14ac:dyDescent="0.35">
      <c r="B20" s="24">
        <v>12</v>
      </c>
      <c r="C20" s="22">
        <v>45937</v>
      </c>
      <c r="D20" s="12">
        <v>15000</v>
      </c>
      <c r="E20" s="13">
        <v>45938</v>
      </c>
      <c r="F20" s="12">
        <v>15500</v>
      </c>
      <c r="G20" s="14">
        <v>45939</v>
      </c>
      <c r="H20" s="12">
        <v>13000</v>
      </c>
      <c r="I20" s="15"/>
      <c r="J20" s="16"/>
      <c r="K20" s="9"/>
      <c r="L20" s="18">
        <v>12000</v>
      </c>
    </row>
    <row r="21" spans="2:12" ht="18" x14ac:dyDescent="0.35">
      <c r="B21" s="24">
        <v>13</v>
      </c>
      <c r="C21" s="22">
        <v>45968</v>
      </c>
      <c r="D21" s="12">
        <v>17500</v>
      </c>
      <c r="E21" s="13">
        <v>45969</v>
      </c>
      <c r="F21" s="12">
        <v>15000</v>
      </c>
      <c r="G21" s="14">
        <v>45970</v>
      </c>
      <c r="H21" s="12">
        <v>13000</v>
      </c>
      <c r="I21" s="15"/>
      <c r="J21" s="16"/>
      <c r="K21" s="9"/>
      <c r="L21" s="18">
        <v>16000</v>
      </c>
    </row>
    <row r="22" spans="2:12" ht="18" x14ac:dyDescent="0.35">
      <c r="B22" s="24">
        <v>14</v>
      </c>
      <c r="C22" s="22">
        <v>45998</v>
      </c>
      <c r="D22" s="12">
        <v>18000</v>
      </c>
      <c r="E22" s="13">
        <v>45999</v>
      </c>
      <c r="F22" s="12">
        <v>17500</v>
      </c>
      <c r="G22" s="14">
        <v>46000</v>
      </c>
      <c r="H22" s="12">
        <v>17000</v>
      </c>
      <c r="I22" s="15"/>
      <c r="J22" s="16"/>
      <c r="K22" s="9"/>
      <c r="L22" s="18">
        <v>19000</v>
      </c>
    </row>
    <row r="23" spans="2:12" ht="15.6" x14ac:dyDescent="0.3">
      <c r="B23" s="4"/>
      <c r="C23" s="17"/>
      <c r="D23" s="17"/>
      <c r="E23" s="17"/>
      <c r="F23" s="17"/>
      <c r="G23" s="17"/>
      <c r="H23" s="17"/>
      <c r="I23" s="17"/>
      <c r="J23" s="9"/>
      <c r="K23" s="9"/>
      <c r="L23" s="18">
        <v>17000</v>
      </c>
    </row>
    <row r="24" spans="2:12" ht="15.6" x14ac:dyDescent="0.3">
      <c r="B24" s="4"/>
      <c r="C24" s="9"/>
      <c r="D24" s="9"/>
      <c r="E24" s="9"/>
      <c r="F24" s="9"/>
      <c r="G24" s="9"/>
      <c r="H24" s="9"/>
      <c r="I24" s="9"/>
      <c r="J24" s="9"/>
      <c r="K24" s="9"/>
      <c r="L24" s="18">
        <v>10500</v>
      </c>
    </row>
    <row r="25" spans="2:12" ht="15.6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18">
        <v>11000</v>
      </c>
    </row>
    <row r="26" spans="2:12" ht="15.6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18">
        <v>12500</v>
      </c>
    </row>
    <row r="27" spans="2:12" ht="15.6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18">
        <v>13000</v>
      </c>
    </row>
    <row r="28" spans="2:12" ht="15.6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18">
        <v>15500</v>
      </c>
    </row>
    <row r="29" spans="2:12" ht="15.6" x14ac:dyDescent="0.3">
      <c r="L29" s="18">
        <v>15000</v>
      </c>
    </row>
    <row r="30" spans="2:12" ht="15.6" x14ac:dyDescent="0.3">
      <c r="L30" s="18">
        <v>17500</v>
      </c>
    </row>
    <row r="31" spans="2:12" ht="15.6" x14ac:dyDescent="0.3">
      <c r="L31" s="18">
        <v>13000</v>
      </c>
    </row>
    <row r="32" spans="2:12" ht="15.6" x14ac:dyDescent="0.3">
      <c r="L32" s="18">
        <v>15000</v>
      </c>
    </row>
    <row r="33" spans="12:14" ht="15.6" x14ac:dyDescent="0.3">
      <c r="L33" s="18">
        <v>14000</v>
      </c>
    </row>
    <row r="34" spans="12:14" ht="15.6" x14ac:dyDescent="0.3">
      <c r="L34" s="18">
        <v>16500</v>
      </c>
    </row>
    <row r="35" spans="12:14" ht="15.6" x14ac:dyDescent="0.3">
      <c r="L35" s="18">
        <v>20000</v>
      </c>
    </row>
    <row r="36" spans="12:14" ht="15.6" x14ac:dyDescent="0.3">
      <c r="L36" s="18">
        <v>12500</v>
      </c>
    </row>
    <row r="37" spans="12:14" ht="15.6" x14ac:dyDescent="0.3">
      <c r="L37" s="18">
        <v>14000</v>
      </c>
    </row>
    <row r="38" spans="12:14" ht="15.6" x14ac:dyDescent="0.3">
      <c r="L38" s="18">
        <v>18500</v>
      </c>
    </row>
    <row r="39" spans="12:14" ht="15.6" x14ac:dyDescent="0.3">
      <c r="L39" s="18">
        <v>14500</v>
      </c>
    </row>
    <row r="40" spans="12:14" ht="15.6" x14ac:dyDescent="0.3">
      <c r="L40" s="18">
        <v>13000</v>
      </c>
    </row>
    <row r="41" spans="12:14" ht="15.6" x14ac:dyDescent="0.3">
      <c r="L41" s="18">
        <v>13000</v>
      </c>
    </row>
    <row r="42" spans="12:14" ht="15.6" x14ac:dyDescent="0.3">
      <c r="L42" s="18">
        <v>17000</v>
      </c>
    </row>
    <row r="43" spans="12:14" x14ac:dyDescent="0.3">
      <c r="N43" s="19"/>
    </row>
    <row r="44" spans="12:14" x14ac:dyDescent="0.3">
      <c r="N44" s="20"/>
    </row>
  </sheetData>
  <mergeCells count="3">
    <mergeCell ref="C9:D9"/>
    <mergeCell ref="E9:F9"/>
    <mergeCell ref="G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AD2C-FCBC-48BA-AB2F-01FB86A68D21}">
  <dimension ref="A2:N25"/>
  <sheetViews>
    <sheetView workbookViewId="0">
      <selection activeCell="G19" sqref="G19"/>
    </sheetView>
  </sheetViews>
  <sheetFormatPr defaultRowHeight="14.4" x14ac:dyDescent="0.3"/>
  <cols>
    <col min="10" max="10" width="17.21875" bestFit="1" customWidth="1"/>
    <col min="12" max="12" width="43" bestFit="1" customWidth="1"/>
    <col min="13" max="13" width="10.44140625" bestFit="1" customWidth="1"/>
    <col min="14" max="14" width="23.77734375" bestFit="1" customWidth="1"/>
  </cols>
  <sheetData>
    <row r="2" spans="1:14" ht="21" x14ac:dyDescent="0.4">
      <c r="A2" s="44" t="s">
        <v>21</v>
      </c>
      <c r="B2" s="45"/>
      <c r="C2" s="45"/>
      <c r="D2" s="45"/>
      <c r="E2" s="45"/>
      <c r="F2" s="45"/>
      <c r="G2" s="45"/>
      <c r="H2" s="45"/>
    </row>
    <row r="4" spans="1:14" x14ac:dyDescent="0.3">
      <c r="L4" s="21" t="s">
        <v>22</v>
      </c>
    </row>
    <row r="5" spans="1:14" ht="15.6" x14ac:dyDescent="0.3">
      <c r="B5" s="23"/>
      <c r="C5" s="25" t="s">
        <v>4</v>
      </c>
      <c r="D5" s="25" t="s">
        <v>5</v>
      </c>
      <c r="E5" s="25" t="s">
        <v>6</v>
      </c>
      <c r="F5" s="25" t="s">
        <v>7</v>
      </c>
      <c r="G5" s="25" t="s">
        <v>8</v>
      </c>
      <c r="H5" s="25" t="s">
        <v>9</v>
      </c>
      <c r="I5" s="25" t="s">
        <v>10</v>
      </c>
      <c r="J5" s="25" t="s">
        <v>11</v>
      </c>
      <c r="L5" s="18">
        <v>176</v>
      </c>
    </row>
    <row r="6" spans="1:14" ht="18" x14ac:dyDescent="0.35">
      <c r="B6" s="24">
        <v>1</v>
      </c>
      <c r="C6" s="35" t="s">
        <v>23</v>
      </c>
      <c r="D6" s="35"/>
      <c r="E6" s="35" t="s">
        <v>24</v>
      </c>
      <c r="F6" s="35"/>
      <c r="G6" s="35" t="s">
        <v>25</v>
      </c>
      <c r="H6" s="35"/>
      <c r="I6" s="7"/>
      <c r="J6" s="8" t="s">
        <v>15</v>
      </c>
      <c r="L6" s="18">
        <v>174</v>
      </c>
      <c r="N6" s="30" t="s">
        <v>3</v>
      </c>
    </row>
    <row r="7" spans="1:14" ht="21" x14ac:dyDescent="0.4">
      <c r="B7" s="24">
        <v>2</v>
      </c>
      <c r="C7" s="10" t="s">
        <v>26</v>
      </c>
      <c r="D7" s="10" t="s">
        <v>27</v>
      </c>
      <c r="E7" s="10" t="s">
        <v>26</v>
      </c>
      <c r="F7" s="10" t="s">
        <v>27</v>
      </c>
      <c r="G7" s="10" t="s">
        <v>26</v>
      </c>
      <c r="H7" s="10" t="s">
        <v>27</v>
      </c>
      <c r="I7" s="7"/>
      <c r="J7" s="36">
        <v>9261904762</v>
      </c>
      <c r="L7" s="18">
        <v>181</v>
      </c>
      <c r="N7" s="40">
        <f>_xlfn.VAR.P(L5:L25)</f>
        <v>8.820861678004535</v>
      </c>
    </row>
    <row r="8" spans="1:14" ht="18" x14ac:dyDescent="0.35">
      <c r="B8" s="24">
        <v>3</v>
      </c>
      <c r="C8" s="22" t="s">
        <v>28</v>
      </c>
      <c r="D8" s="12">
        <v>176</v>
      </c>
      <c r="E8" s="13" t="s">
        <v>29</v>
      </c>
      <c r="F8" s="12">
        <v>179</v>
      </c>
      <c r="G8" s="14" t="s">
        <v>30</v>
      </c>
      <c r="H8" s="12">
        <v>179</v>
      </c>
      <c r="I8" s="15"/>
      <c r="J8" s="16"/>
      <c r="L8" s="18">
        <v>178</v>
      </c>
      <c r="N8" s="29"/>
    </row>
    <row r="9" spans="1:14" ht="18" x14ac:dyDescent="0.35">
      <c r="B9" s="24">
        <v>4</v>
      </c>
      <c r="C9" s="22" t="s">
        <v>31</v>
      </c>
      <c r="D9" s="12">
        <v>174</v>
      </c>
      <c r="E9" s="13" t="s">
        <v>32</v>
      </c>
      <c r="F9" s="12">
        <v>173</v>
      </c>
      <c r="G9" s="14" t="s">
        <v>33</v>
      </c>
      <c r="H9" s="12">
        <v>178</v>
      </c>
      <c r="I9" s="15"/>
      <c r="J9" s="16"/>
      <c r="L9" s="18">
        <v>183</v>
      </c>
      <c r="M9" s="3" t="s">
        <v>2</v>
      </c>
      <c r="N9" s="30" t="s">
        <v>16</v>
      </c>
    </row>
    <row r="10" spans="1:14" ht="21" x14ac:dyDescent="0.4">
      <c r="B10" s="24">
        <v>5</v>
      </c>
      <c r="C10" s="22" t="s">
        <v>34</v>
      </c>
      <c r="D10" s="12">
        <v>181</v>
      </c>
      <c r="E10" s="13" t="s">
        <v>35</v>
      </c>
      <c r="F10" s="12">
        <v>184</v>
      </c>
      <c r="G10" s="14" t="s">
        <v>36</v>
      </c>
      <c r="H10" s="12">
        <v>176</v>
      </c>
      <c r="I10" s="15"/>
      <c r="J10" s="16"/>
      <c r="L10" s="18">
        <v>176</v>
      </c>
      <c r="N10" s="41">
        <f>_xlfn.VAR.S(L5:L25)</f>
        <v>9.2619047619047628</v>
      </c>
    </row>
    <row r="11" spans="1:14" ht="18" x14ac:dyDescent="0.35">
      <c r="B11" s="24">
        <v>6</v>
      </c>
      <c r="C11" s="22" t="s">
        <v>37</v>
      </c>
      <c r="D11" s="12">
        <v>178</v>
      </c>
      <c r="E11" s="13" t="s">
        <v>38</v>
      </c>
      <c r="F11" s="12">
        <v>175</v>
      </c>
      <c r="G11" s="14" t="s">
        <v>39</v>
      </c>
      <c r="H11" s="12">
        <v>181</v>
      </c>
      <c r="I11" s="15"/>
      <c r="J11" s="16"/>
      <c r="L11" s="18">
        <v>177</v>
      </c>
    </row>
    <row r="12" spans="1:14" ht="18" x14ac:dyDescent="0.35">
      <c r="B12" s="24">
        <v>7</v>
      </c>
      <c r="C12" s="22" t="s">
        <v>40</v>
      </c>
      <c r="D12" s="12">
        <v>183</v>
      </c>
      <c r="E12" s="13" t="s">
        <v>41</v>
      </c>
      <c r="F12" s="12">
        <v>172</v>
      </c>
      <c r="G12" s="14" t="s">
        <v>42</v>
      </c>
      <c r="H12" s="12">
        <v>177</v>
      </c>
      <c r="I12" s="15"/>
      <c r="J12" s="16"/>
      <c r="L12" s="18">
        <v>179</v>
      </c>
    </row>
    <row r="13" spans="1:14" ht="18" x14ac:dyDescent="0.35">
      <c r="B13" s="24">
        <v>8</v>
      </c>
      <c r="C13" s="22" t="s">
        <v>43</v>
      </c>
      <c r="D13" s="12">
        <v>176</v>
      </c>
      <c r="E13" s="13" t="s">
        <v>44</v>
      </c>
      <c r="F13" s="12">
        <v>176</v>
      </c>
      <c r="G13" s="14" t="s">
        <v>45</v>
      </c>
      <c r="H13" s="12">
        <v>179</v>
      </c>
      <c r="I13" s="15"/>
      <c r="J13" s="16"/>
      <c r="L13" s="18">
        <v>173</v>
      </c>
    </row>
    <row r="14" spans="1:14" ht="18" x14ac:dyDescent="0.35">
      <c r="B14" s="24">
        <v>9</v>
      </c>
      <c r="C14" s="22" t="s">
        <v>46</v>
      </c>
      <c r="D14" s="12">
        <v>177</v>
      </c>
      <c r="E14" s="13" t="s">
        <v>47</v>
      </c>
      <c r="F14" s="12">
        <v>177</v>
      </c>
      <c r="G14" s="14" t="s">
        <v>48</v>
      </c>
      <c r="H14" s="12">
        <v>176</v>
      </c>
      <c r="I14" s="15"/>
      <c r="J14" s="16"/>
      <c r="L14" s="18">
        <v>184</v>
      </c>
    </row>
    <row r="15" spans="1:14" ht="18" x14ac:dyDescent="0.35">
      <c r="B15" s="24">
        <v>10</v>
      </c>
      <c r="C15" s="22" t="s">
        <v>49</v>
      </c>
      <c r="D15" s="12"/>
      <c r="E15" s="13" t="s">
        <v>50</v>
      </c>
      <c r="F15" s="12"/>
      <c r="G15" s="14" t="s">
        <v>51</v>
      </c>
      <c r="H15" s="12"/>
      <c r="I15" s="15"/>
      <c r="J15" s="16"/>
      <c r="L15" s="18">
        <v>175</v>
      </c>
    </row>
    <row r="16" spans="1:14" ht="18" x14ac:dyDescent="0.35">
      <c r="B16" s="37"/>
      <c r="C16" s="38"/>
      <c r="D16" s="39"/>
      <c r="E16" s="38"/>
      <c r="F16" s="39"/>
      <c r="G16" s="38"/>
      <c r="H16" s="39"/>
      <c r="I16" s="17"/>
      <c r="J16" s="9"/>
      <c r="L16" s="18">
        <v>172</v>
      </c>
    </row>
    <row r="17" spans="2:12" ht="18" x14ac:dyDescent="0.35">
      <c r="B17" s="37"/>
      <c r="C17" s="38"/>
      <c r="D17" s="39"/>
      <c r="E17" s="38"/>
      <c r="F17" s="39"/>
      <c r="G17" s="38"/>
      <c r="H17" s="39"/>
      <c r="I17" s="17"/>
      <c r="J17" s="9"/>
      <c r="L17" s="18">
        <v>176</v>
      </c>
    </row>
    <row r="18" spans="2:12" ht="18" x14ac:dyDescent="0.35">
      <c r="B18" s="37"/>
      <c r="C18" s="38"/>
      <c r="D18" s="39"/>
      <c r="E18" s="38"/>
      <c r="F18" s="39"/>
      <c r="G18" s="38"/>
      <c r="H18" s="39"/>
      <c r="I18" s="17"/>
      <c r="J18" s="9"/>
      <c r="L18" s="18">
        <v>177</v>
      </c>
    </row>
    <row r="19" spans="2:12" ht="18" x14ac:dyDescent="0.35">
      <c r="B19" s="37"/>
      <c r="C19" s="38"/>
      <c r="D19" s="39"/>
      <c r="E19" s="38"/>
      <c r="F19" s="39"/>
      <c r="G19" s="38"/>
      <c r="H19" s="39"/>
      <c r="I19" s="17"/>
      <c r="J19" s="9"/>
      <c r="L19" s="18">
        <v>179</v>
      </c>
    </row>
    <row r="20" spans="2:12" ht="15.6" x14ac:dyDescent="0.3">
      <c r="L20" s="18">
        <v>178</v>
      </c>
    </row>
    <row r="21" spans="2:12" ht="15.6" x14ac:dyDescent="0.3">
      <c r="L21" s="18">
        <v>176</v>
      </c>
    </row>
    <row r="22" spans="2:12" ht="15.6" x14ac:dyDescent="0.3">
      <c r="L22" s="18">
        <v>181</v>
      </c>
    </row>
    <row r="23" spans="2:12" ht="15.6" x14ac:dyDescent="0.3">
      <c r="L23" s="18">
        <v>177</v>
      </c>
    </row>
    <row r="24" spans="2:12" ht="15.6" x14ac:dyDescent="0.3">
      <c r="L24" s="18">
        <v>179</v>
      </c>
    </row>
    <row r="25" spans="2:12" ht="15.6" x14ac:dyDescent="0.3">
      <c r="L25" s="18">
        <v>176</v>
      </c>
    </row>
  </sheetData>
  <mergeCells count="3">
    <mergeCell ref="C6:D6"/>
    <mergeCell ref="E6:F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Od</dc:creator>
  <cp:lastModifiedBy>Krunal Od</cp:lastModifiedBy>
  <dcterms:created xsi:type="dcterms:W3CDTF">2025-07-25T07:46:16Z</dcterms:created>
  <dcterms:modified xsi:type="dcterms:W3CDTF">2025-07-25T08:00:38Z</dcterms:modified>
</cp:coreProperties>
</file>